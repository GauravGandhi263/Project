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Excel Project\"/>
    </mc:Choice>
  </mc:AlternateContent>
  <bookViews>
    <workbookView xWindow="0" yWindow="0" windowWidth="20490" windowHeight="7620"/>
  </bookViews>
  <sheets>
    <sheet name="Country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I8" i="1"/>
  <c r="G8" i="1"/>
  <c r="H7" i="1"/>
  <c r="I7" i="1"/>
  <c r="G7" i="1"/>
  <c r="H6" i="1"/>
  <c r="I6" i="1"/>
  <c r="G6" i="1"/>
  <c r="H5" i="1"/>
  <c r="I5" i="1"/>
  <c r="G5" i="1"/>
</calcChain>
</file>

<file path=xl/sharedStrings.xml><?xml version="1.0" encoding="utf-8"?>
<sst xmlns="http://schemas.openxmlformats.org/spreadsheetml/2006/main" count="103" uniqueCount="85">
  <si>
    <t>Country</t>
  </si>
  <si>
    <t>Capital</t>
  </si>
  <si>
    <t>National_Sport</t>
  </si>
  <si>
    <t>India</t>
  </si>
  <si>
    <t>New Delhi</t>
  </si>
  <si>
    <t>China</t>
  </si>
  <si>
    <t>Beijing</t>
  </si>
  <si>
    <t>United States</t>
  </si>
  <si>
    <t>Washington D.C.</t>
  </si>
  <si>
    <t>Indonesia</t>
  </si>
  <si>
    <t>Jakarta</t>
  </si>
  <si>
    <t>Pakistan</t>
  </si>
  <si>
    <t>Islamabad</t>
  </si>
  <si>
    <t>Nigeria</t>
  </si>
  <si>
    <t>Abuja</t>
  </si>
  <si>
    <t>Brazil</t>
  </si>
  <si>
    <t>Brasilia</t>
  </si>
  <si>
    <t>Bangladesh</t>
  </si>
  <si>
    <t>Dhaka</t>
  </si>
  <si>
    <t>Russia</t>
  </si>
  <si>
    <t>Moscow</t>
  </si>
  <si>
    <t>Ethiopia</t>
  </si>
  <si>
    <t>Addis Ababa</t>
  </si>
  <si>
    <t>Athletics (Popular)</t>
  </si>
  <si>
    <t>Mexico</t>
  </si>
  <si>
    <t>Mexico City</t>
  </si>
  <si>
    <t>Japan</t>
  </si>
  <si>
    <t>Tokyo</t>
  </si>
  <si>
    <t>Egypt</t>
  </si>
  <si>
    <t>Cairo</t>
  </si>
  <si>
    <t>Philippines</t>
  </si>
  <si>
    <t>Manila</t>
  </si>
  <si>
    <t>DR Congo</t>
  </si>
  <si>
    <t>Kinshasa</t>
  </si>
  <si>
    <t>Vietnam</t>
  </si>
  <si>
    <t>Hanoi</t>
  </si>
  <si>
    <t>Iran</t>
  </si>
  <si>
    <t>Tehran</t>
  </si>
  <si>
    <t>Turkey</t>
  </si>
  <si>
    <t>Ankara</t>
  </si>
  <si>
    <t>Germany</t>
  </si>
  <si>
    <t>Berlin</t>
  </si>
  <si>
    <t>Thailand</t>
  </si>
  <si>
    <t>Bangkok</t>
  </si>
  <si>
    <t>United Kingdom</t>
  </si>
  <si>
    <t>London</t>
  </si>
  <si>
    <t>France</t>
  </si>
  <si>
    <t>Paris</t>
  </si>
  <si>
    <t>South Africa</t>
  </si>
  <si>
    <t>Pretoria</t>
  </si>
  <si>
    <t>Italy</t>
  </si>
  <si>
    <t>Rome</t>
  </si>
  <si>
    <t>South Korea</t>
  </si>
  <si>
    <t>Seoul</t>
  </si>
  <si>
    <t>Argentina</t>
  </si>
  <si>
    <t>Buenos Aires</t>
  </si>
  <si>
    <t>Afghanistan</t>
  </si>
  <si>
    <t>Kabul</t>
  </si>
  <si>
    <t>Canada</t>
  </si>
  <si>
    <t>Ottawa</t>
  </si>
  <si>
    <t>Australia</t>
  </si>
  <si>
    <t>Canberra</t>
  </si>
  <si>
    <t>Sri Lanka</t>
  </si>
  <si>
    <t>Sri Jayawardenepura Kotte</t>
  </si>
  <si>
    <t>Population_2026_Est.</t>
  </si>
  <si>
    <t xml:space="preserve">Field Hockey  </t>
  </si>
  <si>
    <t xml:space="preserve">Table Tennis  </t>
  </si>
  <si>
    <t xml:space="preserve">Baseball  </t>
  </si>
  <si>
    <t xml:space="preserve">Badminton  </t>
  </si>
  <si>
    <t xml:space="preserve">Football  </t>
  </si>
  <si>
    <t xml:space="preserve">Bandy  </t>
  </si>
  <si>
    <t xml:space="preserve">Sumo Wrestling  </t>
  </si>
  <si>
    <t xml:space="preserve">Wrestling  </t>
  </si>
  <si>
    <t xml:space="preserve">Oil Wrestling  </t>
  </si>
  <si>
    <t xml:space="preserve">Cricket  </t>
  </si>
  <si>
    <t xml:space="preserve">Buzkashi  </t>
  </si>
  <si>
    <t xml:space="preserve">Kabaddi  </t>
  </si>
  <si>
    <t xml:space="preserve">Charreria  </t>
  </si>
  <si>
    <t xml:space="preserve">Arnis  </t>
  </si>
  <si>
    <t xml:space="preserve">Muay Thai  </t>
  </si>
  <si>
    <t xml:space="preserve">Taekwondo  </t>
  </si>
  <si>
    <t xml:space="preserve">Pato  </t>
  </si>
  <si>
    <t xml:space="preserve">Volleyball  </t>
  </si>
  <si>
    <t xml:space="preserve">Ice Hockey 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</si>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</sst>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I31"/>
  <sheetViews>
    <sheetView tabSelected="1" workbookViewId="0">
      <selection activeCell="G7" sqref="G7"/>
    </sheetView>
  </sheetViews>
  <sheetFormatPr defaultRowHeight="15" x14ac:dyDescent="0.25"/>
  <cols>
    <col min="1" max="1" width="15.42578125" bestFit="1" customWidth="1"/>
    <col min="2" max="2" width="25" bestFit="1" customWidth="1"/>
    <col min="3" max="3" width="20.7109375" customWidth="1"/>
    <col min="4" max="4" width="27.42578125" customWidth="1"/>
    <col min="6" max="7" width="17.28515625" customWidth="1"/>
    <col min="8" max="8" width="22.28515625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64</v>
      </c>
      <c r="D1" s="1" t="s">
        <v>2</v>
      </c>
    </row>
    <row r="2" spans="1:9" x14ac:dyDescent="0.25">
      <c r="A2" s="3" t="s">
        <v>3</v>
      </c>
      <c r="B2" s="3" t="s">
        <v>4</v>
      </c>
      <c r="C2" s="4">
        <v>1476625576</v>
      </c>
      <c r="D2" s="3" t="s">
        <v>65</v>
      </c>
      <c r="G2" s="2" t="s">
        <v>84</v>
      </c>
      <c r="H2" s="2"/>
    </row>
    <row r="3" spans="1:9" x14ac:dyDescent="0.25">
      <c r="A3" s="3" t="s">
        <v>5</v>
      </c>
      <c r="B3" s="3" t="s">
        <v>6</v>
      </c>
      <c r="C3" s="4">
        <v>1412914089</v>
      </c>
      <c r="D3" s="3" t="s">
        <v>66</v>
      </c>
    </row>
    <row r="4" spans="1:9" x14ac:dyDescent="0.25">
      <c r="A4" s="3" t="s">
        <v>7</v>
      </c>
      <c r="B4" s="3" t="s">
        <v>8</v>
      </c>
      <c r="C4" s="4">
        <v>349035494</v>
      </c>
      <c r="D4" s="3" t="s">
        <v>67</v>
      </c>
      <c r="F4" s="1" t="s">
        <v>0</v>
      </c>
      <c r="G4" s="1" t="s">
        <v>1</v>
      </c>
      <c r="H4" s="1" t="s">
        <v>64</v>
      </c>
      <c r="I4" s="1" t="s">
        <v>2</v>
      </c>
    </row>
    <row r="5" spans="1:9" x14ac:dyDescent="0.25">
      <c r="A5" s="3" t="s">
        <v>9</v>
      </c>
      <c r="B5" s="3" t="s">
        <v>10</v>
      </c>
      <c r="C5" s="4">
        <v>287886782</v>
      </c>
      <c r="D5" s="3" t="s">
        <v>68</v>
      </c>
      <c r="F5" s="3" t="s">
        <v>3</v>
      </c>
      <c r="G5" s="3" t="str">
        <f>VLOOKUP($F$5,$A$1:$D$31,COLUMN(B1:D1),FALSE)</f>
        <v>New Delhi</v>
      </c>
      <c r="H5" s="5">
        <f t="shared" ref="H5:I5" si="0">VLOOKUP($F$5,$A$1:$D$31,COLUMN(C1:E1),FALSE)</f>
        <v>1476625576</v>
      </c>
      <c r="I5" s="3" t="str">
        <f t="shared" si="0"/>
        <v xml:space="preserve">Field Hockey  </v>
      </c>
    </row>
    <row r="6" spans="1:9" x14ac:dyDescent="0.25">
      <c r="A6" s="3" t="s">
        <v>11</v>
      </c>
      <c r="B6" s="3" t="s">
        <v>12</v>
      </c>
      <c r="C6" s="4">
        <v>259299791</v>
      </c>
      <c r="D6" s="3" t="s">
        <v>65</v>
      </c>
      <c r="F6" s="3" t="s">
        <v>26</v>
      </c>
      <c r="G6" s="3" t="str">
        <f>VLOOKUP($F$6,$A$1:$D$31,COLUMN(B1:D1),FALSE)</f>
        <v>Tokyo</v>
      </c>
      <c r="H6" s="5">
        <f t="shared" ref="H6:I6" si="1">VLOOKUP($F$6,$A$1:$D$31,COLUMN(C1:E1),FALSE)</f>
        <v>122427731</v>
      </c>
      <c r="I6" s="3" t="str">
        <f t="shared" si="1"/>
        <v xml:space="preserve">Sumo Wrestling  </v>
      </c>
    </row>
    <row r="7" spans="1:9" x14ac:dyDescent="0.25">
      <c r="A7" s="3" t="s">
        <v>13</v>
      </c>
      <c r="B7" s="3" t="s">
        <v>14</v>
      </c>
      <c r="C7" s="4">
        <v>242431832</v>
      </c>
      <c r="D7" s="3" t="s">
        <v>69</v>
      </c>
      <c r="F7" s="3" t="s">
        <v>15</v>
      </c>
      <c r="G7" s="3" t="str">
        <f>VLOOKUP($F$7,$A$1:$D$31,COLUMN(B2:D2),FALSE)</f>
        <v>Brasilia</v>
      </c>
      <c r="H7" s="5">
        <f t="shared" ref="H7:I7" si="2">VLOOKUP($F$7,$A$1:$D$31,COLUMN(C2:E2),FALSE)</f>
        <v>213562666</v>
      </c>
      <c r="I7" s="3" t="str">
        <f t="shared" si="2"/>
        <v xml:space="preserve">Football  </v>
      </c>
    </row>
    <row r="8" spans="1:9" x14ac:dyDescent="0.25">
      <c r="A8" s="3" t="s">
        <v>15</v>
      </c>
      <c r="B8" s="3" t="s">
        <v>16</v>
      </c>
      <c r="C8" s="4">
        <v>213562666</v>
      </c>
      <c r="D8" s="3" t="s">
        <v>69</v>
      </c>
      <c r="F8" s="3" t="s">
        <v>19</v>
      </c>
      <c r="G8" s="3" t="str">
        <f>VLOOKUP($F$8,$A$1:$D$31,COLUMN(B3:D3),FALSE)</f>
        <v>Moscow</v>
      </c>
      <c r="H8" s="5">
        <f t="shared" ref="H8:I8" si="3">VLOOKUP($F$8,$A$1:$D$31,COLUMN(C3:E3),FALSE)</f>
        <v>143394458</v>
      </c>
      <c r="I8" s="3" t="str">
        <f t="shared" si="3"/>
        <v xml:space="preserve">Bandy  </v>
      </c>
    </row>
    <row r="9" spans="1:9" x14ac:dyDescent="0.25">
      <c r="A9" s="3" t="s">
        <v>17</v>
      </c>
      <c r="B9" s="3" t="s">
        <v>18</v>
      </c>
      <c r="C9" s="4">
        <v>177818044</v>
      </c>
      <c r="D9" s="3" t="s">
        <v>76</v>
      </c>
    </row>
    <row r="10" spans="1:9" x14ac:dyDescent="0.25">
      <c r="A10" s="3" t="s">
        <v>19</v>
      </c>
      <c r="B10" s="3" t="s">
        <v>20</v>
      </c>
      <c r="C10" s="4">
        <v>143394458</v>
      </c>
      <c r="D10" s="3" t="s">
        <v>70</v>
      </c>
    </row>
    <row r="11" spans="1:9" x14ac:dyDescent="0.25">
      <c r="A11" s="3" t="s">
        <v>21</v>
      </c>
      <c r="B11" s="3" t="s">
        <v>22</v>
      </c>
      <c r="C11" s="4">
        <v>138902185</v>
      </c>
      <c r="D11" s="3" t="s">
        <v>23</v>
      </c>
    </row>
    <row r="12" spans="1:9" x14ac:dyDescent="0.25">
      <c r="A12" s="3" t="s">
        <v>24</v>
      </c>
      <c r="B12" s="3" t="s">
        <v>25</v>
      </c>
      <c r="C12" s="4">
        <v>132997658</v>
      </c>
      <c r="D12" s="3" t="s">
        <v>77</v>
      </c>
    </row>
    <row r="13" spans="1:9" x14ac:dyDescent="0.25">
      <c r="A13" s="3" t="s">
        <v>26</v>
      </c>
      <c r="B13" s="3" t="s">
        <v>27</v>
      </c>
      <c r="C13" s="4">
        <v>122427731</v>
      </c>
      <c r="D13" s="3" t="s">
        <v>71</v>
      </c>
    </row>
    <row r="14" spans="1:9" x14ac:dyDescent="0.25">
      <c r="A14" s="3" t="s">
        <v>28</v>
      </c>
      <c r="B14" s="3" t="s">
        <v>29</v>
      </c>
      <c r="C14" s="4">
        <v>120101175</v>
      </c>
      <c r="D14" s="3" t="s">
        <v>69</v>
      </c>
    </row>
    <row r="15" spans="1:9" x14ac:dyDescent="0.25">
      <c r="A15" s="3" t="s">
        <v>30</v>
      </c>
      <c r="B15" s="3" t="s">
        <v>31</v>
      </c>
      <c r="C15" s="4">
        <v>117724471</v>
      </c>
      <c r="D15" s="3" t="s">
        <v>78</v>
      </c>
    </row>
    <row r="16" spans="1:9" x14ac:dyDescent="0.25">
      <c r="A16" s="3" t="s">
        <v>32</v>
      </c>
      <c r="B16" s="3" t="s">
        <v>33</v>
      </c>
      <c r="C16" s="4">
        <v>116452162</v>
      </c>
      <c r="D16" s="3" t="s">
        <v>69</v>
      </c>
    </row>
    <row r="17" spans="1:4" x14ac:dyDescent="0.25">
      <c r="A17" s="3" t="s">
        <v>34</v>
      </c>
      <c r="B17" s="3" t="s">
        <v>35</v>
      </c>
      <c r="C17" s="4">
        <v>102177431</v>
      </c>
      <c r="D17" s="3" t="s">
        <v>69</v>
      </c>
    </row>
    <row r="18" spans="1:4" x14ac:dyDescent="0.25">
      <c r="A18" s="3" t="s">
        <v>36</v>
      </c>
      <c r="B18" s="3" t="s">
        <v>37</v>
      </c>
      <c r="C18" s="4">
        <v>93168497</v>
      </c>
      <c r="D18" s="3" t="s">
        <v>72</v>
      </c>
    </row>
    <row r="19" spans="1:4" x14ac:dyDescent="0.25">
      <c r="A19" s="3" t="s">
        <v>38</v>
      </c>
      <c r="B19" s="3" t="s">
        <v>39</v>
      </c>
      <c r="C19" s="4">
        <v>87926082</v>
      </c>
      <c r="D19" s="3" t="s">
        <v>73</v>
      </c>
    </row>
    <row r="20" spans="1:4" x14ac:dyDescent="0.25">
      <c r="A20" s="3" t="s">
        <v>40</v>
      </c>
      <c r="B20" s="3" t="s">
        <v>41</v>
      </c>
      <c r="C20" s="4">
        <v>83644258</v>
      </c>
      <c r="D20" s="3" t="s">
        <v>69</v>
      </c>
    </row>
    <row r="21" spans="1:4" x14ac:dyDescent="0.25">
      <c r="A21" s="3" t="s">
        <v>42</v>
      </c>
      <c r="B21" s="3" t="s">
        <v>43</v>
      </c>
      <c r="C21" s="4">
        <v>71559614</v>
      </c>
      <c r="D21" s="3" t="s">
        <v>79</v>
      </c>
    </row>
    <row r="22" spans="1:4" x14ac:dyDescent="0.25">
      <c r="A22" s="3" t="s">
        <v>44</v>
      </c>
      <c r="B22" s="3" t="s">
        <v>45</v>
      </c>
      <c r="C22" s="4">
        <v>69931528</v>
      </c>
      <c r="D22" s="3" t="s">
        <v>74</v>
      </c>
    </row>
    <row r="23" spans="1:4" x14ac:dyDescent="0.25">
      <c r="A23" s="3" t="s">
        <v>46</v>
      </c>
      <c r="B23" s="3" t="s">
        <v>47</v>
      </c>
      <c r="C23" s="4">
        <v>66746401</v>
      </c>
      <c r="D23" s="3" t="s">
        <v>69</v>
      </c>
    </row>
    <row r="24" spans="1:4" x14ac:dyDescent="0.25">
      <c r="A24" s="3" t="s">
        <v>48</v>
      </c>
      <c r="B24" s="3" t="s">
        <v>49</v>
      </c>
      <c r="C24" s="4">
        <v>65453084</v>
      </c>
      <c r="D24" s="3" t="s">
        <v>69</v>
      </c>
    </row>
    <row r="25" spans="1:4" x14ac:dyDescent="0.25">
      <c r="A25" s="3" t="s">
        <v>50</v>
      </c>
      <c r="B25" s="3" t="s">
        <v>51</v>
      </c>
      <c r="C25" s="4">
        <v>58926166</v>
      </c>
      <c r="D25" s="3" t="s">
        <v>69</v>
      </c>
    </row>
    <row r="26" spans="1:4" x14ac:dyDescent="0.25">
      <c r="A26" s="3" t="s">
        <v>52</v>
      </c>
      <c r="B26" s="3" t="s">
        <v>53</v>
      </c>
      <c r="C26" s="4">
        <v>51600388</v>
      </c>
      <c r="D26" s="3" t="s">
        <v>80</v>
      </c>
    </row>
    <row r="27" spans="1:4" x14ac:dyDescent="0.25">
      <c r="A27" s="3" t="s">
        <v>54</v>
      </c>
      <c r="B27" s="3" t="s">
        <v>55</v>
      </c>
      <c r="C27" s="4">
        <v>46003734</v>
      </c>
      <c r="D27" s="3" t="s">
        <v>81</v>
      </c>
    </row>
    <row r="28" spans="1:4" x14ac:dyDescent="0.25">
      <c r="A28" s="3" t="s">
        <v>56</v>
      </c>
      <c r="B28" s="3" t="s">
        <v>57</v>
      </c>
      <c r="C28" s="4">
        <v>45047069</v>
      </c>
      <c r="D28" s="3" t="s">
        <v>75</v>
      </c>
    </row>
    <row r="29" spans="1:4" x14ac:dyDescent="0.25">
      <c r="A29" s="3" t="s">
        <v>58</v>
      </c>
      <c r="B29" s="3" t="s">
        <v>59</v>
      </c>
      <c r="C29" s="4">
        <v>40467728</v>
      </c>
      <c r="D29" s="3" t="s">
        <v>83</v>
      </c>
    </row>
    <row r="30" spans="1:4" x14ac:dyDescent="0.25">
      <c r="A30" s="3" t="s">
        <v>60</v>
      </c>
      <c r="B30" s="3" t="s">
        <v>61</v>
      </c>
      <c r="C30" s="4">
        <v>27227096</v>
      </c>
      <c r="D30" s="3" t="s">
        <v>74</v>
      </c>
    </row>
    <row r="31" spans="1:4" x14ac:dyDescent="0.25">
      <c r="A31" s="3" t="s">
        <v>62</v>
      </c>
      <c r="B31" s="3" t="s">
        <v>63</v>
      </c>
      <c r="C31" s="4">
        <v>23348315</v>
      </c>
      <c r="D31" s="3" t="s">
        <v>82</v>
      </c>
    </row>
  </sheetData>
  <mergeCells count="1"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2026-02-05T12:12:46Z</dcterms:created>
  <dcterms:modified xsi:type="dcterms:W3CDTF">2026-02-05T12:34:16Z</dcterms:modified>
</cp:coreProperties>
</file>